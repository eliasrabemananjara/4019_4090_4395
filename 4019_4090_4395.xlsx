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cap" sheetId="1" state="visible" r:id="rId3"/>
    <sheet name="liste des taches" sheetId="2" state="visible" r:id="rId4"/>
    <sheet name="avancement projet" sheetId="3" state="visible" r:id="rId5"/>
    <sheet name="detail" sheetId="4" state="visible" r:id="rId6"/>
  </sheets>
  <calcPr iterateCount="100" refMode="A1" iterate="false" iterateDelta="0.0001"/>
  <pivotCaches>
    <pivotCache cacheId="1" r:id="rId8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<sst xmlns="http://schemas.openxmlformats.org/spreadsheetml/2006/main" count="368" uniqueCount="126">
  <si>
    <t xml:space="preserve">Avancement</t>
  </si>
  <si>
    <t xml:space="preserve">(vide)</t>
  </si>
  <si>
    <t xml:space="preserve">4019-4090-4395</t>
  </si>
  <si>
    <t xml:space="preserve">LE PROJET FINAL S3 V1</t>
  </si>
  <si>
    <t xml:space="preserve">Categorie</t>
  </si>
  <si>
    <t xml:space="preserve">Tache</t>
  </si>
  <si>
    <t xml:space="preserve">Statut</t>
  </si>
  <si>
    <t xml:space="preserve">Membre</t>
  </si>
  <si>
    <t xml:space="preserve">Heure estimer en minute</t>
  </si>
  <si>
    <t xml:space="preserve">Progression</t>
  </si>
  <si>
    <t xml:space="preserve">BDD</t>
  </si>
  <si>
    <t xml:space="preserve">Script table.sql (users, region, ville, type_produit, produit, besoin, dons, stock, attribution)</t>
  </si>
  <si>
    <t xml:space="preserve">OK</t>
  </si>
  <si>
    <t xml:space="preserve">4019</t>
  </si>
  <si>
    <t xml:space="preserve">Script donnees.sql (Insertion des donnees de test)</t>
  </si>
  <si>
    <t xml:space="preserve">Configuration de la connexion PDO</t>
  </si>
  <si>
    <t xml:space="preserve">Authentification</t>
  </si>
  <si>
    <t xml:space="preserve">Creation page login</t>
  </si>
  <si>
    <t xml:space="preserve">4090</t>
  </si>
  <si>
    <t xml:space="preserve">Formulaire de connexion (email)</t>
  </si>
  <si>
    <t xml:space="preserve">Traitement Auto-login</t>
  </si>
  <si>
    <t xml:space="preserve">Gestion de session utilisateur</t>
  </si>
  <si>
    <t xml:space="preserve">Creation page d'accueil</t>
  </si>
  <si>
    <t xml:space="preserve">Liens vers les fonctionnalites</t>
  </si>
  <si>
    <t xml:space="preserve">Besoins</t>
  </si>
  <si>
    <t xml:space="preserve">Creation page insertion des besoins</t>
  </si>
  <si>
    <t xml:space="preserve">Formulaire avec ville (liste deroulante)</t>
  </si>
  <si>
    <t xml:space="preserve">Selection du produit (liste deroulante)</t>
  </si>
  <si>
    <t xml:space="preserve">Saisie quantite</t>
  </si>
  <si>
    <t xml:space="preserve">Bouton valider</t>
  </si>
  <si>
    <t xml:space="preserve">Traitement insertion besoin</t>
  </si>
  <si>
    <t xml:space="preserve">Enregistrement dans la table besoin</t>
  </si>
  <si>
    <t xml:space="preserve">Dons</t>
  </si>
  <si>
    <t xml:space="preserve">Creation page insertion des dons</t>
  </si>
  <si>
    <t xml:space="preserve">Formulaire selection produit</t>
  </si>
  <si>
    <t xml:space="preserve">Saisie quantite du don</t>
  </si>
  <si>
    <t xml:space="preserve">Traitement insertion don</t>
  </si>
  <si>
    <t xml:space="preserve">Historique dans table dons</t>
  </si>
  <si>
    <t xml:space="preserve">Mise a jour du stock</t>
  </si>
  <si>
    <t xml:space="preserve">Attribution</t>
  </si>
  <si>
    <t xml:space="preserve">Creation page liste des besoins</t>
  </si>
  <si>
    <t xml:space="preserve">Affichage groupe par ville</t>
  </si>
  <si>
    <t xml:space="preserve">Tableau recapitulatif</t>
  </si>
  <si>
    <t xml:space="preserve">Colonnes produit/stock/demande/attribue/reste/action</t>
  </si>
  <si>
    <t xml:space="preserve">Interface attribution integree</t>
  </si>
  <si>
    <t xml:space="preserve">4395</t>
  </si>
  <si>
    <t xml:space="preserve">Formulaire direct sur ligne</t>
  </si>
  <si>
    <t xml:space="preserve">Champ quantite limitee</t>
  </si>
  <si>
    <t xml:space="preserve">Bouton attribuer</t>
  </si>
  <si>
    <t xml:space="preserve">Badges complet/rupture</t>
  </si>
  <si>
    <t xml:space="preserve">Verification stock backend</t>
  </si>
  <si>
    <t xml:space="preserve">Transaction atomique</t>
  </si>
  <si>
    <t xml:space="preserve">Decrement stock</t>
  </si>
  <si>
    <t xml:space="preserve">Insertion attribution</t>
  </si>
  <si>
    <t xml:space="preserve">Message succes/erreur</t>
  </si>
  <si>
    <t xml:space="preserve">V2</t>
  </si>
  <si>
    <t xml:space="preserve">Prix Unitaires</t>
  </si>
  <si>
    <t xml:space="preserve">Creation table prix_unitaires</t>
  </si>
  <si>
    <t xml:space="preserve">Champs idprix_unitaires, idproduit, valeur</t>
  </si>
  <si>
    <t xml:space="preserve">Insertion des prix pour les produits</t>
  </si>
  <si>
    <t xml:space="preserve">Creation Prix_unitaireRepository</t>
  </si>
  <si>
    <t xml:space="preserve">Methode getLatestByProduit()</t>
  </si>
  <si>
    <t xml:space="preserve">Achats</t>
  </si>
  <si>
    <t xml:space="preserve">Creation table achat</t>
  </si>
  <si>
    <t xml:space="preserve">Champs idachat, montant, idproduit, idville</t>
  </si>
  <si>
    <t xml:space="preserve">Creation AchatRepository</t>
  </si>
  <si>
    <t xml:space="preserve">Methode findAll()</t>
  </si>
  <si>
    <t xml:space="preserve">Methode create()</t>
  </si>
  <si>
    <t xml:space="preserve">Creation page historiqueAchat.php</t>
  </si>
  <si>
    <t xml:space="preserve">Affichage liste des achats</t>
  </si>
  <si>
    <t xml:space="preserve">Tableau colonnes Ville/Produit/Montant</t>
  </si>
  <si>
    <t xml:space="preserve">Filtrage par ville</t>
  </si>
  <si>
    <t xml:space="preserve">Creation HistoriqueAchatController</t>
  </si>
  <si>
    <t xml:space="preserve">Methode index()</t>
  </si>
  <si>
    <t xml:space="preserve">Recap Financiere</t>
  </si>
  <si>
    <t xml:space="preserve">Creation page recapitulation.php</t>
  </si>
  <si>
    <t xml:space="preserve">Tableau recapitulatif par ville</t>
  </si>
  <si>
    <t xml:space="preserve">Colonnes Ville/Besoins/Dons/Reste</t>
  </si>
  <si>
    <t xml:space="preserve">Section statistiques globales Ajax</t>
  </si>
  <si>
    <t xml:space="preserve">Stats total besoins</t>
  </si>
  <si>
    <t xml:space="preserve">Stats besoins satisfaits</t>
  </si>
  <si>
    <t xml:space="preserve">Stats dons recus</t>
  </si>
  <si>
    <t xml:space="preserve">Stats dons dispatches</t>
  </si>
  <si>
    <t xml:space="preserve">Bouton actualiser Ajax</t>
  </si>
  <si>
    <t xml:space="preserve">Creation RecapitControleur</t>
  </si>
  <si>
    <t xml:space="preserve">Methode showRecap()</t>
  </si>
  <si>
    <t xml:space="preserve">Methode getGlobalStats()</t>
  </si>
  <si>
    <t xml:space="preserve">Calcul automatique Ariary</t>
  </si>
  <si>
    <t xml:space="preserve">Conversion via prix_unitaires</t>
  </si>
  <si>
    <t xml:space="preserve">Traitement direct Argent</t>
  </si>
  <si>
    <t xml:space="preserve">UX/UI</t>
  </si>
  <si>
    <t xml:space="preserve">Systeme design centralise (6 CSS)</t>
  </si>
  <si>
    <t xml:space="preserve">Palette couleurs douce</t>
  </si>
  <si>
    <t xml:space="preserve">Page login glassmorphism</t>
  </si>
  <si>
    <t xml:space="preserve">Effets visuels et animations</t>
  </si>
  <si>
    <t xml:space="preserve">V3</t>
  </si>
  <si>
    <t xml:space="preserve">Gestion des Ventes de Stock </t>
  </si>
  <si>
    <t xml:space="preserve">Création page Vente de Stock (/vente)</t>
  </si>
  <si>
    <t xml:space="preserve">Tableau des produits disponibles (hors Argent)</t>
  </si>
  <si>
    <t xml:space="preserve">Affichage Stock, Prix Unitaire, Commission (%)</t>
  </si>
  <si>
    <t xml:space="preserve">Input quantité à vendre par produit</t>
  </si>
  <si>
    <t xml:space="preserve">Bouton "Vendre" avec traitement AJAX</t>
  </si>
  <si>
    <t xml:space="preserve">Logique métier Vente (Backend)</t>
  </si>
  <si>
    <t xml:space="preserve">Vérification disponibilité stock (Stock insuffisant)</t>
  </si>
  <si>
    <t xml:space="preserve">Vérification couverture besoins restants (Blocage si besoins non couverts)</t>
  </si>
  <si>
    <t xml:space="preserve">Affichage détaillé des villes impactées en cas de blocage</t>
  </si>
  <si>
    <t xml:space="preserve">Calcul prix final (Prix base + Commission)</t>
  </si>
  <si>
    <t xml:space="preserve">Mise à jour atomique : Décrémenter Stock Produit / Incrémenter Stock Argent</t>
  </si>
  <si>
    <t xml:space="preserve">Configuration Commission</t>
  </si>
  <si>
    <t xml:space="preserve">Card "Configuration" sur page vente</t>
  </si>
  <si>
    <t xml:space="preserve">Mise à jour globale du pourcentage de commission pour tous les produits via AJAX</t>
  </si>
  <si>
    <t xml:space="preserve">Fonctionnalités Système &amp; Maintenance</t>
  </si>
  <si>
    <t xml:space="preserve">Réinitialisation des Données</t>
  </si>
  <si>
    <t xml:space="preserve">Page /reinitialiser pour remettre la base à zéro (stock, besoins, dons, etc.)</t>
  </si>
  <si>
    <t xml:space="preserve">Navigation</t>
  </si>
  <si>
    <t xml:space="preserve">Ajout lien "Vente de Stock" dans Sidebar</t>
  </si>
  <si>
    <t xml:space="preserve">Ajout carte "Vente de Stock" sur Dashboard Accueil</t>
  </si>
  <si>
    <t xml:space="preserve">Ajout lien "Réinitialiser" dans Sidebar et Accueil</t>
  </si>
  <si>
    <t xml:space="preserve">estimation total</t>
  </si>
  <si>
    <t xml:space="preserve">temps passé total</t>
  </si>
  <si>
    <t xml:space="preserve">reste à faire total</t>
  </si>
  <si>
    <t xml:space="preserve">avancement</t>
  </si>
  <si>
    <t xml:space="preserve">dépassement</t>
  </si>
  <si>
    <t xml:space="preserve">heure</t>
  </si>
  <si>
    <t xml:space="preserve">Ligne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</si>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</sst>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\ %"/>
    <numFmt numFmtId="166" formatCode="0\ %"/>
    <numFmt numFmtId="167" formatCode="d/m"/>
  </numFmts>
  <fonts count="12">
    <font>
      <sz val="12"/>
      <color theme="1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ptos Narrow"/>
      <family val="0"/>
      <charset val="1"/>
    </font>
    <font>
      <b val="true"/>
      <sz val="11"/>
      <color theme="1"/>
      <name val="Arial"/>
      <family val="0"/>
      <charset val="1"/>
    </font>
    <font>
      <sz val="11"/>
      <color theme="1"/>
      <name val="Aptos Narrow"/>
      <family val="0"/>
      <charset val="1"/>
    </font>
    <font>
      <sz val="20"/>
      <color theme="1"/>
      <name val="Aptos Narrow"/>
      <family val="0"/>
      <charset val="1"/>
    </font>
    <font>
      <sz val="20"/>
      <color rgb="FF650953"/>
      <name val="Aptos Narrow"/>
      <family val="0"/>
      <charset val="1"/>
    </font>
    <font>
      <sz val="12"/>
      <color rgb="FFFF0000"/>
      <name val="Aptos Narrow"/>
      <family val="0"/>
      <charset val="1"/>
    </font>
    <font>
      <b val="true"/>
      <sz val="12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E599"/>
        <bgColor rgb="FFFFFF99"/>
      </patternFill>
    </fill>
    <fill>
      <patternFill patternType="solid">
        <fgColor rgb="FF95DCF7"/>
        <bgColor rgb="FFCC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tégorie de la table dynamique" xfId="20"/>
    <cellStyle name="Champ de la table dynamique" xfId="21"/>
    <cellStyle name="Coin de la table dynamique" xfId="22"/>
    <cellStyle name="Résultat de la table dynamique" xfId="23"/>
    <cellStyle name="Titre de la table dynamique" xfId="24"/>
    <cellStyle name="Valeur de la table dynamique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50953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DCF7"/>
      <rgbColor rgb="FFFF99CC"/>
      <rgbColor rgb="FFCC99FF"/>
      <rgbColor rgb="FFFFE5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<Relationship Id="rId8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9" createdVersion="3">
  <cacheSource type="worksheet">
    <worksheetSource ref="C3:M22" sheet="liste des taches"/>
  </cacheSource>
  <cacheFields count="11">
    <cacheField name="Statut" numFmtId="0">
      <sharedItems count="1">
        <s v="OK"/>
      </sharedItems>
    </cacheField>
    <cacheField name="Membre" numFmtId="0">
      <sharedItems count="2">
        <s v="4019"/>
        <s v="4090"/>
      </sharedItems>
    </cacheField>
    <cacheField name="Heure estimer en minute" numFmtId="0">
      <sharedItems containsSemiMixedTypes="0" containsString="0" containsNumber="1" containsInteger="1" minValue="1" maxValue="20" count="7">
        <n v="1"/>
        <n v="2"/>
        <n v="3"/>
        <n v="5"/>
        <n v="10"/>
        <n v="15"/>
        <n v="20"/>
      </sharedItems>
    </cacheField>
    <cacheField name="Progression" numFmtId="0">
      <sharedItems containsSemiMixedTypes="0" containsString="0" containsNumber="1" containsInteger="1" minValue="1" maxValue="1" count="1">
        <n v="1"/>
      </sharedItems>
    </cacheField>
    <cacheField name="Colonne G" numFmtId="0">
      <sharedItems containsString="0" containsBlank="1" count="1">
        <m/>
      </sharedItems>
    </cacheField>
    <cacheField name="Colonne H" numFmtId="0">
      <sharedItems containsString="0" containsBlank="1" count="1">
        <m/>
      </sharedItems>
    </cacheField>
    <cacheField name="Colonne I" numFmtId="0">
      <sharedItems containsString="0" containsBlank="1" count="1">
        <m/>
      </sharedItems>
    </cacheField>
    <cacheField name="Colonne J" numFmtId="0">
      <sharedItems containsString="0" containsBlank="1" count="1">
        <m/>
      </sharedItems>
    </cacheField>
    <cacheField name="Colonne K" numFmtId="0">
      <sharedItems containsString="0" containsBlank="1" count="1">
        <m/>
      </sharedItems>
    </cacheField>
    <cacheField name="Colonne L" numFmtId="0">
      <sharedItems containsString="0" containsBlank="1" count="1">
        <m/>
      </sharedItems>
    </cacheField>
    <cacheField name="Colonne M" numFmtId="0">
      <sharedItems containsString="0" containsBlank="1" count="1"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">
  <r>
    <x v="0"/>
    <x v="0"/>
    <x v="4"/>
    <x v="0"/>
    <x v="0"/>
    <x v="0"/>
    <x v="0"/>
    <x v="0"/>
    <x v="0"/>
    <x v="0"/>
    <x v="0"/>
  </r>
  <r>
    <x v="0"/>
    <x v="0"/>
    <x v="4"/>
    <x v="0"/>
    <x v="0"/>
    <x v="0"/>
    <x v="0"/>
    <x v="0"/>
    <x v="0"/>
    <x v="0"/>
    <x v="0"/>
  </r>
  <r>
    <x v="0"/>
    <x v="0"/>
    <x v="5"/>
    <x v="0"/>
    <x v="0"/>
    <x v="0"/>
    <x v="0"/>
    <x v="0"/>
    <x v="0"/>
    <x v="0"/>
    <x v="0"/>
  </r>
  <r>
    <x v="0"/>
    <x v="1"/>
    <x v="5"/>
    <x v="0"/>
    <x v="0"/>
    <x v="0"/>
    <x v="0"/>
    <x v="0"/>
    <x v="0"/>
    <x v="0"/>
    <x v="0"/>
  </r>
  <r>
    <x v="0"/>
    <x v="1"/>
    <x v="4"/>
    <x v="0"/>
    <x v="0"/>
    <x v="0"/>
    <x v="0"/>
    <x v="0"/>
    <x v="0"/>
    <x v="0"/>
    <x v="0"/>
  </r>
  <r>
    <x v="0"/>
    <x v="1"/>
    <x v="4"/>
    <x v="0"/>
    <x v="0"/>
    <x v="0"/>
    <x v="0"/>
    <x v="0"/>
    <x v="0"/>
    <x v="0"/>
    <x v="0"/>
  </r>
  <r>
    <x v="0"/>
    <x v="1"/>
    <x v="6"/>
    <x v="0"/>
    <x v="0"/>
    <x v="0"/>
    <x v="0"/>
    <x v="0"/>
    <x v="0"/>
    <x v="0"/>
    <x v="0"/>
  </r>
  <r>
    <x v="0"/>
    <x v="1"/>
    <x v="3"/>
    <x v="0"/>
    <x v="0"/>
    <x v="0"/>
    <x v="0"/>
    <x v="0"/>
    <x v="0"/>
    <x v="0"/>
    <x v="0"/>
  </r>
  <r>
    <x v="0"/>
    <x v="1"/>
    <x v="3"/>
    <x v="0"/>
    <x v="0"/>
    <x v="0"/>
    <x v="0"/>
    <x v="0"/>
    <x v="0"/>
    <x v="0"/>
    <x v="0"/>
  </r>
  <r>
    <x v="0"/>
    <x v="0"/>
    <x v="4"/>
    <x v="0"/>
    <x v="0"/>
    <x v="0"/>
    <x v="0"/>
    <x v="0"/>
    <x v="0"/>
    <x v="0"/>
    <x v="0"/>
  </r>
  <r>
    <x v="0"/>
    <x v="0"/>
    <x v="6"/>
    <x v="0"/>
    <x v="0"/>
    <x v="0"/>
    <x v="0"/>
    <x v="0"/>
    <x v="0"/>
    <x v="0"/>
    <x v="0"/>
  </r>
  <r>
    <x v="0"/>
    <x v="0"/>
    <x v="4"/>
    <x v="0"/>
    <x v="0"/>
    <x v="0"/>
    <x v="0"/>
    <x v="0"/>
    <x v="0"/>
    <x v="0"/>
    <x v="0"/>
  </r>
  <r>
    <x v="0"/>
    <x v="0"/>
    <x v="2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</r>
  <r>
    <x v="0"/>
    <x v="0"/>
    <x v="6"/>
    <x v="0"/>
    <x v="0"/>
    <x v="0"/>
    <x v="0"/>
    <x v="0"/>
    <x v="0"/>
    <x v="0"/>
    <x v="0"/>
  </r>
  <r>
    <x v="0"/>
    <x v="0"/>
    <x v="5"/>
    <x v="0"/>
    <x v="0"/>
    <x v="0"/>
    <x v="0"/>
    <x v="0"/>
    <x v="0"/>
    <x v="0"/>
    <x v="0"/>
  </r>
  <r>
    <x v="0"/>
    <x v="0"/>
    <x v="4"/>
    <x v="0"/>
    <x v="0"/>
    <x v="0"/>
    <x v="0"/>
    <x v="0"/>
    <x v="0"/>
    <x v="0"/>
    <x v="0"/>
  </r>
  <r>
    <x v="0"/>
    <x v="0"/>
    <x v="4"/>
    <x v="0"/>
    <x v="0"/>
    <x v="0"/>
    <x v="0"/>
    <x v="0"/>
    <x v="0"/>
    <x v="0"/>
    <x v="0"/>
  </r>
  <r>
    <x v="0"/>
    <x v="0"/>
    <x v="1"/>
    <x v="0"/>
    <x v="0"/>
    <x v="0"/>
    <x v="0"/>
    <x v="0"/>
    <x v="0"/>
    <x v="0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Recap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0" compactData="0">
  <location ref="A3:A4" firstHeaderRow="1" firstDataRow="1" firstDataCol="0"/>
  <pivotFields count="11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Items count="1">
    <i t="grand">
      <x v="0"/>
    </i>
  </rowItems>
  <colItems count="1">
    <i t="grand">
      <x v="0"/>
    </i>
  </colItem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B5" activeCellId="0" sqref="B5"/>
    </sheetView>
  </sheetViews>
  <sheetFormatPr defaultColWidth="9.671875" defaultRowHeight="15" customHeight="false" zeroHeight="false" outlineLevelRow="0" outlineLevelCol="0"/>
  <cols>
    <col collapsed="false" customWidth="true" hidden="false" outlineLevel="0" max="1" min="1" style="1" width="17.25"/>
    <col collapsed="false" customWidth="true" hidden="false" outlineLevel="0" max="2" min="2" style="1" width="16.77"/>
    <col collapsed="false" customWidth="true" hidden="false" outlineLevel="0" max="26" min="3" style="1" width="9.11"/>
  </cols>
  <sheetData>
    <row r="1" customFormat="false" ht="15.75" hidden="false" customHeight="true" outlineLevel="0" collapsed="false">
      <c r="A1" s="2" t="s">
        <v>0</v>
      </c>
      <c r="B1" s="3" t="e">
        <f aca="false">'avancement projet'!D2</f>
        <v>#DIV/0!</v>
      </c>
    </row>
    <row r="2" customFormat="false" ht="15.75" hidden="false" customHeight="true" outlineLevel="0" collapsed="false"/>
    <row r="3" customFormat="false" ht="15.75" hidden="false" customHeight="true" outlineLevel="0" collapsed="false">
      <c r="A3" s="4" t="s">
        <v>1</v>
      </c>
    </row>
    <row r="4" customFormat="false" ht="15.75" hidden="false" customHeight="true" outlineLevel="0" collapsed="false">
      <c r="A4" s="5"/>
    </row>
    <row r="5" customFormat="false" ht="15.75" hidden="false" customHeight="true" outlineLevel="0" collapsed="false"/>
    <row r="6" customFormat="false" ht="15.75" hidden="false" customHeight="true" outlineLevel="0" collapsed="false"/>
    <row r="7" customFormat="false" ht="15.75" hidden="false" customHeight="true" outlineLevel="0" collapsed="false"/>
    <row r="8" customFormat="false" ht="15.75" hidden="false" customHeight="true" outlineLevel="0" collapsed="false"/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2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K68" activeCellId="0" sqref="K68"/>
    </sheetView>
  </sheetViews>
  <sheetFormatPr defaultColWidth="9.671875" defaultRowHeight="15" customHeight="false" zeroHeight="false" outlineLevelRow="0" outlineLevelCol="0"/>
  <cols>
    <col collapsed="false" customWidth="true" hidden="false" outlineLevel="0" max="1" min="1" style="1" width="38.51"/>
    <col collapsed="false" customWidth="true" hidden="false" outlineLevel="0" max="2" min="2" style="1" width="56.27"/>
    <col collapsed="false" customWidth="true" hidden="false" outlineLevel="0" max="3" min="3" style="1" width="6.23"/>
    <col collapsed="false" customWidth="true" hidden="false" outlineLevel="0" max="4" min="4" style="1" width="7.64"/>
    <col collapsed="false" customWidth="true" hidden="false" outlineLevel="0" max="5" min="5" style="1" width="20.7"/>
    <col collapsed="false" customWidth="true" hidden="false" outlineLevel="0" max="6" min="6" style="1" width="9.34"/>
    <col collapsed="false" customWidth="true" hidden="false" outlineLevel="0" max="7" min="7" style="1" width="13.03"/>
    <col collapsed="false" customWidth="true" hidden="false" outlineLevel="0" max="8" min="8" style="1" width="9.11"/>
    <col collapsed="false" customWidth="true" hidden="false" outlineLevel="0" max="11" min="9" style="1" width="10.35"/>
    <col collapsed="false" customWidth="true" hidden="false" outlineLevel="0" max="12" min="12" style="1" width="10.45"/>
    <col collapsed="false" customWidth="true" hidden="false" outlineLevel="0" max="29" min="13" style="1" width="9.11"/>
  </cols>
  <sheetData>
    <row r="1" customFormat="false" ht="40.1" hidden="false" customHeight="true" outlineLevel="0" collapsed="false">
      <c r="A1" s="6" t="s">
        <v>2</v>
      </c>
      <c r="B1" s="6"/>
      <c r="C1" s="6"/>
      <c r="D1" s="6"/>
      <c r="E1" s="6"/>
      <c r="F1" s="6"/>
    </row>
    <row r="2" customFormat="false" ht="30.75" hidden="false" customHeight="true" outlineLevel="0" collapsed="false">
      <c r="A2" s="7" t="s">
        <v>3</v>
      </c>
      <c r="B2" s="7"/>
      <c r="C2" s="7"/>
      <c r="D2" s="7"/>
      <c r="E2" s="7"/>
      <c r="F2" s="7"/>
    </row>
    <row r="3" customFormat="false" ht="15.75" hidden="false" customHeight="true" outlineLevel="0" collapsed="false">
      <c r="A3" s="8" t="s">
        <v>4</v>
      </c>
      <c r="B3" s="8" t="s">
        <v>5</v>
      </c>
      <c r="C3" s="8" t="s">
        <v>6</v>
      </c>
      <c r="D3" s="8" t="s">
        <v>7</v>
      </c>
      <c r="E3" s="8" t="s">
        <v>8</v>
      </c>
      <c r="F3" s="8" t="s">
        <v>9</v>
      </c>
    </row>
    <row r="4" customFormat="false" ht="15.75" hidden="false" customHeight="true" outlineLevel="0" collapsed="false">
      <c r="A4" s="1" t="s">
        <v>10</v>
      </c>
      <c r="B4" s="1" t="s">
        <v>11</v>
      </c>
      <c r="C4" s="1" t="s">
        <v>12</v>
      </c>
      <c r="D4" s="1" t="s">
        <v>13</v>
      </c>
      <c r="E4" s="1" t="n">
        <v>10</v>
      </c>
      <c r="F4" s="9" t="n">
        <v>1</v>
      </c>
    </row>
    <row r="5" customFormat="false" ht="15.75" hidden="false" customHeight="true" outlineLevel="0" collapsed="false">
      <c r="A5" s="1" t="s">
        <v>10</v>
      </c>
      <c r="B5" s="1" t="s">
        <v>14</v>
      </c>
      <c r="C5" s="1" t="s">
        <v>12</v>
      </c>
      <c r="D5" s="1" t="s">
        <v>13</v>
      </c>
      <c r="E5" s="1" t="n">
        <v>10</v>
      </c>
      <c r="F5" s="9" t="n">
        <v>1</v>
      </c>
    </row>
    <row r="6" customFormat="false" ht="15.75" hidden="false" customHeight="true" outlineLevel="0" collapsed="false">
      <c r="A6" s="1" t="s">
        <v>10</v>
      </c>
      <c r="B6" s="1" t="s">
        <v>15</v>
      </c>
      <c r="C6" s="1" t="s">
        <v>12</v>
      </c>
      <c r="D6" s="1" t="s">
        <v>13</v>
      </c>
      <c r="E6" s="1" t="n">
        <v>15</v>
      </c>
      <c r="F6" s="9" t="n">
        <v>1</v>
      </c>
    </row>
    <row r="7" customFormat="false" ht="15.75" hidden="false" customHeight="true" outlineLevel="0" collapsed="false">
      <c r="A7" s="1" t="s">
        <v>16</v>
      </c>
      <c r="B7" s="1" t="s">
        <v>17</v>
      </c>
      <c r="C7" s="1" t="s">
        <v>12</v>
      </c>
      <c r="D7" s="1" t="s">
        <v>18</v>
      </c>
      <c r="E7" s="1" t="n">
        <v>15</v>
      </c>
      <c r="F7" s="9" t="n">
        <v>1</v>
      </c>
    </row>
    <row r="8" customFormat="false" ht="15.75" hidden="false" customHeight="true" outlineLevel="0" collapsed="false">
      <c r="A8" s="1" t="s">
        <v>16</v>
      </c>
      <c r="B8" s="1" t="s">
        <v>19</v>
      </c>
      <c r="C8" s="1" t="s">
        <v>12</v>
      </c>
      <c r="D8" s="1" t="s">
        <v>18</v>
      </c>
      <c r="E8" s="1" t="n">
        <v>10</v>
      </c>
      <c r="F8" s="9" t="n">
        <v>1</v>
      </c>
    </row>
    <row r="9" customFormat="false" ht="15.75" hidden="false" customHeight="true" outlineLevel="0" collapsed="false">
      <c r="A9" s="1" t="s">
        <v>16</v>
      </c>
      <c r="B9" s="1" t="s">
        <v>20</v>
      </c>
      <c r="C9" s="1" t="s">
        <v>12</v>
      </c>
      <c r="D9" s="1" t="s">
        <v>18</v>
      </c>
      <c r="E9" s="1" t="n">
        <v>10</v>
      </c>
      <c r="F9" s="9" t="n">
        <v>1</v>
      </c>
    </row>
    <row r="10" customFormat="false" ht="15.75" hidden="false" customHeight="true" outlineLevel="0" collapsed="false">
      <c r="A10" s="1" t="s">
        <v>16</v>
      </c>
      <c r="B10" s="1" t="s">
        <v>21</v>
      </c>
      <c r="C10" s="1" t="s">
        <v>12</v>
      </c>
      <c r="D10" s="1" t="s">
        <v>18</v>
      </c>
      <c r="E10" s="1" t="n">
        <v>20</v>
      </c>
      <c r="F10" s="9" t="n">
        <v>1</v>
      </c>
    </row>
    <row r="11" customFormat="false" ht="15.75" hidden="false" customHeight="true" outlineLevel="0" collapsed="false">
      <c r="A11" s="1" t="s">
        <v>16</v>
      </c>
      <c r="B11" s="1" t="s">
        <v>22</v>
      </c>
      <c r="C11" s="1" t="s">
        <v>12</v>
      </c>
      <c r="D11" s="1" t="s">
        <v>18</v>
      </c>
      <c r="E11" s="1" t="n">
        <v>5</v>
      </c>
      <c r="F11" s="9" t="n">
        <v>1</v>
      </c>
    </row>
    <row r="12" customFormat="false" ht="15.75" hidden="false" customHeight="true" outlineLevel="0" collapsed="false">
      <c r="A12" s="1" t="s">
        <v>16</v>
      </c>
      <c r="B12" s="1" t="s">
        <v>23</v>
      </c>
      <c r="C12" s="1" t="s">
        <v>12</v>
      </c>
      <c r="D12" s="1" t="s">
        <v>18</v>
      </c>
      <c r="E12" s="1" t="n">
        <v>5</v>
      </c>
      <c r="F12" s="9" t="n">
        <v>1</v>
      </c>
    </row>
    <row r="13" customFormat="false" ht="15.75" hidden="false" customHeight="true" outlineLevel="0" collapsed="false">
      <c r="A13" s="1" t="s">
        <v>24</v>
      </c>
      <c r="B13" s="1" t="s">
        <v>25</v>
      </c>
      <c r="C13" s="1" t="s">
        <v>12</v>
      </c>
      <c r="D13" s="1" t="s">
        <v>13</v>
      </c>
      <c r="E13" s="1" t="n">
        <v>10</v>
      </c>
      <c r="F13" s="9" t="n">
        <v>1</v>
      </c>
    </row>
    <row r="14" customFormat="false" ht="15.75" hidden="false" customHeight="true" outlineLevel="0" collapsed="false">
      <c r="A14" s="1" t="s">
        <v>24</v>
      </c>
      <c r="B14" s="1" t="s">
        <v>26</v>
      </c>
      <c r="C14" s="1" t="s">
        <v>12</v>
      </c>
      <c r="D14" s="1" t="s">
        <v>13</v>
      </c>
      <c r="E14" s="1" t="n">
        <v>20</v>
      </c>
      <c r="F14" s="9" t="n">
        <v>1</v>
      </c>
    </row>
    <row r="15" customFormat="false" ht="15.75" hidden="false" customHeight="true" outlineLevel="0" collapsed="false">
      <c r="A15" s="1" t="s">
        <v>24</v>
      </c>
      <c r="B15" s="1" t="s">
        <v>27</v>
      </c>
      <c r="C15" s="1" t="s">
        <v>12</v>
      </c>
      <c r="D15" s="1" t="s">
        <v>13</v>
      </c>
      <c r="E15" s="1" t="n">
        <v>10</v>
      </c>
      <c r="F15" s="9" t="n">
        <v>1</v>
      </c>
    </row>
    <row r="16" customFormat="false" ht="15.75" hidden="false" customHeight="true" outlineLevel="0" collapsed="false">
      <c r="A16" s="1" t="s">
        <v>24</v>
      </c>
      <c r="B16" s="1" t="s">
        <v>28</v>
      </c>
      <c r="C16" s="1" t="s">
        <v>12</v>
      </c>
      <c r="D16" s="1" t="s">
        <v>13</v>
      </c>
      <c r="E16" s="1" t="n">
        <v>3</v>
      </c>
      <c r="F16" s="9" t="n">
        <v>1</v>
      </c>
    </row>
    <row r="17" customFormat="false" ht="15.75" hidden="false" customHeight="true" outlineLevel="0" collapsed="false">
      <c r="A17" s="1" t="s">
        <v>24</v>
      </c>
      <c r="B17" s="1" t="s">
        <v>29</v>
      </c>
      <c r="C17" s="1" t="s">
        <v>12</v>
      </c>
      <c r="D17" s="1" t="s">
        <v>13</v>
      </c>
      <c r="E17" s="1" t="n">
        <v>1</v>
      </c>
      <c r="F17" s="9" t="n">
        <v>1</v>
      </c>
    </row>
    <row r="18" customFormat="false" ht="15.75" hidden="false" customHeight="true" outlineLevel="0" collapsed="false">
      <c r="A18" s="1" t="s">
        <v>24</v>
      </c>
      <c r="B18" s="1" t="s">
        <v>30</v>
      </c>
      <c r="C18" s="1" t="s">
        <v>12</v>
      </c>
      <c r="D18" s="1" t="s">
        <v>13</v>
      </c>
      <c r="E18" s="1" t="n">
        <v>20</v>
      </c>
      <c r="F18" s="9" t="n">
        <v>1</v>
      </c>
    </row>
    <row r="19" customFormat="false" ht="15.75" hidden="false" customHeight="true" outlineLevel="0" collapsed="false">
      <c r="A19" s="1" t="s">
        <v>24</v>
      </c>
      <c r="B19" s="1" t="s">
        <v>31</v>
      </c>
      <c r="C19" s="1" t="s">
        <v>12</v>
      </c>
      <c r="D19" s="1" t="s">
        <v>13</v>
      </c>
      <c r="E19" s="1" t="n">
        <v>15</v>
      </c>
      <c r="F19" s="9" t="n">
        <v>1</v>
      </c>
    </row>
    <row r="20" customFormat="false" ht="15.75" hidden="false" customHeight="true" outlineLevel="0" collapsed="false">
      <c r="A20" s="1" t="s">
        <v>32</v>
      </c>
      <c r="B20" s="1" t="s">
        <v>33</v>
      </c>
      <c r="C20" s="1" t="s">
        <v>12</v>
      </c>
      <c r="D20" s="1" t="s">
        <v>13</v>
      </c>
      <c r="E20" s="1" t="n">
        <v>10</v>
      </c>
      <c r="F20" s="9" t="n">
        <v>1</v>
      </c>
    </row>
    <row r="21" customFormat="false" ht="15.75" hidden="false" customHeight="true" outlineLevel="0" collapsed="false">
      <c r="A21" s="1" t="s">
        <v>32</v>
      </c>
      <c r="B21" s="1" t="s">
        <v>34</v>
      </c>
      <c r="C21" s="1" t="s">
        <v>12</v>
      </c>
      <c r="D21" s="1" t="s">
        <v>13</v>
      </c>
      <c r="E21" s="1" t="n">
        <v>10</v>
      </c>
      <c r="F21" s="9" t="n">
        <v>1</v>
      </c>
    </row>
    <row r="22" customFormat="false" ht="15.75" hidden="false" customHeight="true" outlineLevel="0" collapsed="false">
      <c r="A22" s="1" t="s">
        <v>32</v>
      </c>
      <c r="B22" s="1" t="s">
        <v>35</v>
      </c>
      <c r="C22" s="1" t="s">
        <v>12</v>
      </c>
      <c r="D22" s="1" t="s">
        <v>13</v>
      </c>
      <c r="E22" s="1" t="n">
        <v>2</v>
      </c>
      <c r="F22" s="9" t="n">
        <v>1</v>
      </c>
    </row>
    <row r="23" customFormat="false" ht="15.75" hidden="false" customHeight="true" outlineLevel="0" collapsed="false">
      <c r="A23" s="1" t="s">
        <v>32</v>
      </c>
      <c r="B23" s="1" t="s">
        <v>29</v>
      </c>
      <c r="C23" s="1" t="s">
        <v>12</v>
      </c>
      <c r="D23" s="1" t="s">
        <v>13</v>
      </c>
      <c r="E23" s="1" t="n">
        <v>1</v>
      </c>
      <c r="F23" s="9" t="n">
        <v>1</v>
      </c>
    </row>
    <row r="24" customFormat="false" ht="15.75" hidden="false" customHeight="true" outlineLevel="0" collapsed="false">
      <c r="A24" s="1" t="s">
        <v>32</v>
      </c>
      <c r="B24" s="1" t="s">
        <v>36</v>
      </c>
      <c r="C24" s="1" t="s">
        <v>12</v>
      </c>
      <c r="D24" s="1" t="s">
        <v>13</v>
      </c>
      <c r="E24" s="1" t="n">
        <v>20</v>
      </c>
      <c r="F24" s="9" t="n">
        <v>1</v>
      </c>
    </row>
    <row r="25" customFormat="false" ht="15.75" hidden="false" customHeight="true" outlineLevel="0" collapsed="false">
      <c r="A25" s="1" t="s">
        <v>32</v>
      </c>
      <c r="B25" s="1" t="s">
        <v>37</v>
      </c>
      <c r="C25" s="1" t="s">
        <v>12</v>
      </c>
      <c r="D25" s="1" t="s">
        <v>13</v>
      </c>
      <c r="E25" s="1" t="n">
        <v>20</v>
      </c>
      <c r="F25" s="9" t="n">
        <v>1</v>
      </c>
    </row>
    <row r="26" customFormat="false" ht="15.75" hidden="false" customHeight="true" outlineLevel="0" collapsed="false">
      <c r="A26" s="1" t="s">
        <v>32</v>
      </c>
      <c r="B26" s="1" t="s">
        <v>38</v>
      </c>
      <c r="C26" s="1" t="s">
        <v>12</v>
      </c>
      <c r="D26" s="1" t="s">
        <v>13</v>
      </c>
      <c r="E26" s="1" t="n">
        <v>30</v>
      </c>
      <c r="F26" s="9" t="n">
        <v>1</v>
      </c>
    </row>
    <row r="27" customFormat="false" ht="15.75" hidden="false" customHeight="true" outlineLevel="0" collapsed="false">
      <c r="A27" s="1" t="s">
        <v>39</v>
      </c>
      <c r="B27" s="1" t="s">
        <v>40</v>
      </c>
      <c r="C27" s="1" t="s">
        <v>12</v>
      </c>
      <c r="D27" s="1" t="s">
        <v>18</v>
      </c>
      <c r="E27" s="1" t="n">
        <v>40</v>
      </c>
      <c r="F27" s="9" t="n">
        <v>1</v>
      </c>
    </row>
    <row r="28" customFormat="false" ht="15.75" hidden="false" customHeight="true" outlineLevel="0" collapsed="false">
      <c r="A28" s="1" t="s">
        <v>39</v>
      </c>
      <c r="B28" s="1" t="s">
        <v>41</v>
      </c>
      <c r="C28" s="1" t="s">
        <v>12</v>
      </c>
      <c r="D28" s="1" t="s">
        <v>18</v>
      </c>
      <c r="E28" s="1" t="n">
        <v>20</v>
      </c>
      <c r="F28" s="9" t="n">
        <v>1</v>
      </c>
    </row>
    <row r="29" customFormat="false" ht="15.75" hidden="false" customHeight="true" outlineLevel="0" collapsed="false">
      <c r="A29" s="1" t="s">
        <v>39</v>
      </c>
      <c r="B29" s="1" t="s">
        <v>42</v>
      </c>
      <c r="C29" s="1" t="s">
        <v>12</v>
      </c>
      <c r="D29" s="1" t="s">
        <v>18</v>
      </c>
      <c r="E29" s="1" t="n">
        <v>30</v>
      </c>
      <c r="F29" s="9" t="n">
        <v>1</v>
      </c>
    </row>
    <row r="30" customFormat="false" ht="15.75" hidden="false" customHeight="true" outlineLevel="0" collapsed="false">
      <c r="A30" s="1" t="s">
        <v>39</v>
      </c>
      <c r="B30" s="1" t="s">
        <v>43</v>
      </c>
      <c r="C30" s="1" t="s">
        <v>12</v>
      </c>
      <c r="D30" s="1" t="s">
        <v>18</v>
      </c>
      <c r="E30" s="1" t="n">
        <v>10</v>
      </c>
      <c r="F30" s="9" t="n">
        <v>1</v>
      </c>
    </row>
    <row r="31" customFormat="false" ht="15.75" hidden="false" customHeight="true" outlineLevel="0" collapsed="false">
      <c r="A31" s="1" t="s">
        <v>39</v>
      </c>
      <c r="B31" s="1" t="s">
        <v>44</v>
      </c>
      <c r="C31" s="1" t="s">
        <v>12</v>
      </c>
      <c r="D31" s="1" t="s">
        <v>45</v>
      </c>
      <c r="E31" s="1" t="n">
        <v>40</v>
      </c>
      <c r="F31" s="9" t="n">
        <v>1</v>
      </c>
    </row>
    <row r="32" customFormat="false" ht="15.75" hidden="false" customHeight="true" outlineLevel="0" collapsed="false">
      <c r="A32" s="1" t="s">
        <v>39</v>
      </c>
      <c r="B32" s="1" t="s">
        <v>46</v>
      </c>
      <c r="C32" s="1" t="s">
        <v>12</v>
      </c>
      <c r="D32" s="1" t="s">
        <v>45</v>
      </c>
      <c r="E32" s="1" t="n">
        <v>10</v>
      </c>
      <c r="F32" s="9" t="n">
        <v>1</v>
      </c>
    </row>
    <row r="33" customFormat="false" ht="15.75" hidden="false" customHeight="true" outlineLevel="0" collapsed="false">
      <c r="A33" s="1" t="s">
        <v>39</v>
      </c>
      <c r="B33" s="1" t="s">
        <v>47</v>
      </c>
      <c r="C33" s="1" t="s">
        <v>12</v>
      </c>
      <c r="D33" s="1" t="s">
        <v>45</v>
      </c>
      <c r="E33" s="1" t="n">
        <v>30</v>
      </c>
      <c r="F33" s="9" t="n">
        <v>1</v>
      </c>
    </row>
    <row r="34" customFormat="false" ht="15.75" hidden="false" customHeight="true" outlineLevel="0" collapsed="false">
      <c r="A34" s="1" t="s">
        <v>39</v>
      </c>
      <c r="B34" s="1" t="s">
        <v>48</v>
      </c>
      <c r="C34" s="1" t="s">
        <v>12</v>
      </c>
      <c r="D34" s="1" t="s">
        <v>45</v>
      </c>
      <c r="E34" s="1" t="n">
        <v>4</v>
      </c>
      <c r="F34" s="9" t="n">
        <v>1</v>
      </c>
    </row>
    <row r="35" customFormat="false" ht="15.75" hidden="false" customHeight="true" outlineLevel="0" collapsed="false">
      <c r="A35" s="1" t="s">
        <v>39</v>
      </c>
      <c r="B35" s="1" t="s">
        <v>49</v>
      </c>
      <c r="C35" s="1" t="s">
        <v>12</v>
      </c>
      <c r="D35" s="1" t="s">
        <v>45</v>
      </c>
      <c r="E35" s="1" t="n">
        <v>10</v>
      </c>
      <c r="F35" s="9" t="n">
        <v>1</v>
      </c>
    </row>
    <row r="36" customFormat="false" ht="15.75" hidden="false" customHeight="true" outlineLevel="0" collapsed="false">
      <c r="A36" s="1" t="s">
        <v>39</v>
      </c>
      <c r="B36" s="1" t="s">
        <v>50</v>
      </c>
      <c r="C36" s="1" t="s">
        <v>12</v>
      </c>
      <c r="D36" s="1" t="s">
        <v>45</v>
      </c>
      <c r="E36" s="1" t="n">
        <v>20</v>
      </c>
      <c r="F36" s="9" t="n">
        <v>1</v>
      </c>
    </row>
    <row r="37" customFormat="false" ht="15.75" hidden="false" customHeight="true" outlineLevel="0" collapsed="false">
      <c r="A37" s="1" t="s">
        <v>39</v>
      </c>
      <c r="B37" s="1" t="s">
        <v>51</v>
      </c>
      <c r="C37" s="1" t="s">
        <v>12</v>
      </c>
      <c r="D37" s="1" t="s">
        <v>45</v>
      </c>
      <c r="E37" s="1" t="n">
        <v>20</v>
      </c>
      <c r="F37" s="9" t="n">
        <v>1</v>
      </c>
    </row>
    <row r="38" customFormat="false" ht="15.75" hidden="false" customHeight="true" outlineLevel="0" collapsed="false">
      <c r="A38" s="1" t="s">
        <v>39</v>
      </c>
      <c r="B38" s="1" t="s">
        <v>52</v>
      </c>
      <c r="C38" s="1" t="s">
        <v>12</v>
      </c>
      <c r="D38" s="1" t="s">
        <v>45</v>
      </c>
      <c r="E38" s="1" t="n">
        <v>20</v>
      </c>
      <c r="F38" s="9" t="n">
        <v>1</v>
      </c>
    </row>
    <row r="39" customFormat="false" ht="15.75" hidden="false" customHeight="true" outlineLevel="0" collapsed="false">
      <c r="A39" s="1" t="s">
        <v>39</v>
      </c>
      <c r="B39" s="1" t="s">
        <v>53</v>
      </c>
      <c r="C39" s="1" t="s">
        <v>12</v>
      </c>
      <c r="D39" s="1" t="s">
        <v>45</v>
      </c>
      <c r="E39" s="1" t="n">
        <v>20</v>
      </c>
      <c r="F39" s="9" t="n">
        <v>1</v>
      </c>
    </row>
    <row r="40" customFormat="false" ht="15.75" hidden="false" customHeight="true" outlineLevel="0" collapsed="false">
      <c r="A40" s="1" t="s">
        <v>39</v>
      </c>
      <c r="B40" s="1" t="s">
        <v>54</v>
      </c>
      <c r="C40" s="1" t="s">
        <v>12</v>
      </c>
      <c r="D40" s="1" t="s">
        <v>45</v>
      </c>
      <c r="E40" s="1" t="n">
        <v>5</v>
      </c>
      <c r="F40" s="9" t="n">
        <v>1</v>
      </c>
    </row>
    <row r="41" customFormat="false" ht="15.75" hidden="false" customHeight="true" outlineLevel="0" collapsed="false">
      <c r="A41" s="7" t="s">
        <v>55</v>
      </c>
      <c r="B41" s="7"/>
      <c r="C41" s="7"/>
      <c r="D41" s="7"/>
      <c r="E41" s="7"/>
      <c r="F41" s="7"/>
    </row>
    <row r="42" customFormat="false" ht="15.75" hidden="false" customHeight="true" outlineLevel="0" collapsed="false">
      <c r="A42" s="7"/>
      <c r="B42" s="7"/>
      <c r="C42" s="7"/>
      <c r="D42" s="7"/>
      <c r="E42" s="7"/>
      <c r="F42" s="7"/>
    </row>
    <row r="43" customFormat="false" ht="15.75" hidden="false" customHeight="true" outlineLevel="0" collapsed="false">
      <c r="A43" s="1" t="s">
        <v>56</v>
      </c>
      <c r="B43" s="1" t="s">
        <v>57</v>
      </c>
      <c r="C43" s="1" t="s">
        <v>12</v>
      </c>
      <c r="D43" s="1" t="s">
        <v>18</v>
      </c>
      <c r="E43" s="1" t="n">
        <v>10</v>
      </c>
      <c r="F43" s="9" t="n">
        <v>1</v>
      </c>
    </row>
    <row r="44" customFormat="false" ht="15.75" hidden="false" customHeight="true" outlineLevel="0" collapsed="false">
      <c r="A44" s="1" t="s">
        <v>56</v>
      </c>
      <c r="B44" s="1" t="s">
        <v>58</v>
      </c>
      <c r="C44" s="1" t="s">
        <v>12</v>
      </c>
      <c r="D44" s="1" t="s">
        <v>18</v>
      </c>
      <c r="E44" s="1" t="n">
        <v>10</v>
      </c>
      <c r="F44" s="9" t="n">
        <v>1</v>
      </c>
    </row>
    <row r="45" customFormat="false" ht="15.75" hidden="false" customHeight="true" outlineLevel="0" collapsed="false">
      <c r="A45" s="1" t="s">
        <v>56</v>
      </c>
      <c r="B45" s="1" t="s">
        <v>59</v>
      </c>
      <c r="C45" s="1" t="s">
        <v>12</v>
      </c>
      <c r="D45" s="1" t="s">
        <v>18</v>
      </c>
      <c r="E45" s="1" t="n">
        <v>15</v>
      </c>
      <c r="F45" s="9" t="n">
        <v>1</v>
      </c>
    </row>
    <row r="46" customFormat="false" ht="15.75" hidden="false" customHeight="true" outlineLevel="0" collapsed="false">
      <c r="A46" s="1" t="s">
        <v>56</v>
      </c>
      <c r="B46" s="1" t="s">
        <v>60</v>
      </c>
      <c r="C46" s="1" t="s">
        <v>12</v>
      </c>
      <c r="D46" s="1" t="s">
        <v>18</v>
      </c>
      <c r="E46" s="1" t="n">
        <v>15</v>
      </c>
      <c r="F46" s="9" t="n">
        <v>1</v>
      </c>
    </row>
    <row r="47" customFormat="false" ht="15.75" hidden="false" customHeight="true" outlineLevel="0" collapsed="false">
      <c r="A47" s="1" t="s">
        <v>56</v>
      </c>
      <c r="B47" s="1" t="s">
        <v>61</v>
      </c>
      <c r="C47" s="1" t="s">
        <v>12</v>
      </c>
      <c r="D47" s="1" t="s">
        <v>18</v>
      </c>
      <c r="E47" s="1" t="n">
        <v>10</v>
      </c>
      <c r="F47" s="9" t="n">
        <v>1</v>
      </c>
    </row>
    <row r="48" customFormat="false" ht="15.75" hidden="false" customHeight="true" outlineLevel="0" collapsed="false">
      <c r="A48" s="1" t="s">
        <v>62</v>
      </c>
      <c r="B48" s="1" t="s">
        <v>63</v>
      </c>
      <c r="C48" s="1" t="s">
        <v>12</v>
      </c>
      <c r="D48" s="1" t="s">
        <v>13</v>
      </c>
      <c r="E48" s="1" t="n">
        <v>10</v>
      </c>
      <c r="F48" s="9" t="n">
        <v>1</v>
      </c>
    </row>
    <row r="49" customFormat="false" ht="15.75" hidden="false" customHeight="true" outlineLevel="0" collapsed="false">
      <c r="A49" s="1" t="s">
        <v>62</v>
      </c>
      <c r="B49" s="1" t="s">
        <v>64</v>
      </c>
      <c r="C49" s="1" t="s">
        <v>12</v>
      </c>
      <c r="D49" s="1" t="s">
        <v>13</v>
      </c>
      <c r="E49" s="1" t="n">
        <v>20</v>
      </c>
      <c r="F49" s="9" t="n">
        <v>1</v>
      </c>
    </row>
    <row r="50" customFormat="false" ht="15.75" hidden="false" customHeight="true" outlineLevel="0" collapsed="false">
      <c r="A50" s="1" t="s">
        <v>62</v>
      </c>
      <c r="B50" s="1" t="s">
        <v>65</v>
      </c>
      <c r="C50" s="1" t="s">
        <v>12</v>
      </c>
      <c r="D50" s="1" t="s">
        <v>13</v>
      </c>
      <c r="E50" s="1" t="n">
        <v>5</v>
      </c>
      <c r="F50" s="9" t="n">
        <v>1</v>
      </c>
    </row>
    <row r="51" customFormat="false" ht="15.75" hidden="false" customHeight="true" outlineLevel="0" collapsed="false">
      <c r="A51" s="1" t="s">
        <v>62</v>
      </c>
      <c r="B51" s="1" t="s">
        <v>66</v>
      </c>
      <c r="C51" s="1" t="s">
        <v>12</v>
      </c>
      <c r="D51" s="1" t="s">
        <v>13</v>
      </c>
      <c r="E51" s="1" t="n">
        <v>5</v>
      </c>
      <c r="F51" s="9" t="n">
        <v>1</v>
      </c>
    </row>
    <row r="52" customFormat="false" ht="15.75" hidden="false" customHeight="true" outlineLevel="0" collapsed="false">
      <c r="A52" s="1" t="s">
        <v>62</v>
      </c>
      <c r="B52" s="1" t="s">
        <v>67</v>
      </c>
      <c r="C52" s="1" t="s">
        <v>12</v>
      </c>
      <c r="D52" s="1" t="s">
        <v>13</v>
      </c>
      <c r="E52" s="1" t="n">
        <v>10</v>
      </c>
      <c r="F52" s="9" t="n">
        <v>1</v>
      </c>
    </row>
    <row r="53" customFormat="false" ht="15.75" hidden="false" customHeight="true" outlineLevel="0" collapsed="false">
      <c r="A53" s="1" t="s">
        <v>62</v>
      </c>
      <c r="B53" s="1" t="s">
        <v>68</v>
      </c>
      <c r="C53" s="1" t="s">
        <v>12</v>
      </c>
      <c r="D53" s="1" t="s">
        <v>13</v>
      </c>
      <c r="E53" s="1" t="n">
        <v>20</v>
      </c>
      <c r="F53" s="9" t="n">
        <v>1</v>
      </c>
    </row>
    <row r="54" customFormat="false" ht="15.75" hidden="false" customHeight="true" outlineLevel="0" collapsed="false">
      <c r="A54" s="1" t="s">
        <v>62</v>
      </c>
      <c r="B54" s="1" t="s">
        <v>69</v>
      </c>
      <c r="C54" s="1" t="s">
        <v>12</v>
      </c>
      <c r="D54" s="1" t="s">
        <v>13</v>
      </c>
      <c r="E54" s="1" t="n">
        <v>10</v>
      </c>
      <c r="F54" s="9" t="n">
        <v>1</v>
      </c>
    </row>
    <row r="55" customFormat="false" ht="15.75" hidden="false" customHeight="true" outlineLevel="0" collapsed="false">
      <c r="A55" s="1" t="s">
        <v>62</v>
      </c>
      <c r="B55" s="1" t="s">
        <v>70</v>
      </c>
      <c r="C55" s="1" t="s">
        <v>12</v>
      </c>
      <c r="D55" s="1" t="s">
        <v>13</v>
      </c>
      <c r="E55" s="1" t="n">
        <v>3</v>
      </c>
      <c r="F55" s="9" t="n">
        <v>1</v>
      </c>
    </row>
    <row r="56" customFormat="false" ht="15.75" hidden="false" customHeight="true" outlineLevel="0" collapsed="false">
      <c r="A56" s="1" t="s">
        <v>62</v>
      </c>
      <c r="B56" s="1" t="s">
        <v>71</v>
      </c>
      <c r="C56" s="1" t="s">
        <v>12</v>
      </c>
      <c r="D56" s="1" t="s">
        <v>13</v>
      </c>
      <c r="E56" s="1" t="n">
        <v>1</v>
      </c>
      <c r="F56" s="9" t="n">
        <v>1</v>
      </c>
    </row>
    <row r="57" customFormat="false" ht="15.75" hidden="false" customHeight="true" outlineLevel="0" collapsed="false">
      <c r="A57" s="1" t="s">
        <v>62</v>
      </c>
      <c r="B57" s="1" t="s">
        <v>72</v>
      </c>
      <c r="C57" s="1" t="s">
        <v>12</v>
      </c>
      <c r="D57" s="1" t="s">
        <v>13</v>
      </c>
      <c r="E57" s="1" t="n">
        <v>20</v>
      </c>
      <c r="F57" s="9" t="n">
        <v>1</v>
      </c>
    </row>
    <row r="58" customFormat="false" ht="15.75" hidden="false" customHeight="true" outlineLevel="0" collapsed="false">
      <c r="A58" s="1" t="s">
        <v>62</v>
      </c>
      <c r="B58" s="1" t="s">
        <v>73</v>
      </c>
      <c r="C58" s="1" t="s">
        <v>12</v>
      </c>
      <c r="D58" s="1" t="s">
        <v>13</v>
      </c>
      <c r="E58" s="1" t="n">
        <v>15</v>
      </c>
      <c r="F58" s="9" t="n">
        <v>1</v>
      </c>
    </row>
    <row r="59" customFormat="false" ht="15.75" hidden="false" customHeight="true" outlineLevel="0" collapsed="false">
      <c r="A59" s="1" t="s">
        <v>74</v>
      </c>
      <c r="B59" s="1" t="s">
        <v>75</v>
      </c>
      <c r="C59" s="1" t="s">
        <v>12</v>
      </c>
      <c r="D59" s="1" t="s">
        <v>45</v>
      </c>
      <c r="E59" s="1" t="n">
        <v>10</v>
      </c>
      <c r="F59" s="9" t="n">
        <v>1</v>
      </c>
    </row>
    <row r="60" customFormat="false" ht="15.75" hidden="false" customHeight="true" outlineLevel="0" collapsed="false">
      <c r="A60" s="1" t="s">
        <v>74</v>
      </c>
      <c r="B60" s="1" t="s">
        <v>76</v>
      </c>
      <c r="C60" s="1" t="s">
        <v>12</v>
      </c>
      <c r="D60" s="1" t="s">
        <v>45</v>
      </c>
      <c r="E60" s="1" t="n">
        <v>10</v>
      </c>
      <c r="F60" s="9" t="n">
        <v>1</v>
      </c>
    </row>
    <row r="61" customFormat="false" ht="15.75" hidden="false" customHeight="true" outlineLevel="0" collapsed="false">
      <c r="A61" s="1" t="s">
        <v>74</v>
      </c>
      <c r="B61" s="1" t="s">
        <v>77</v>
      </c>
      <c r="C61" s="1" t="s">
        <v>12</v>
      </c>
      <c r="D61" s="1" t="s">
        <v>45</v>
      </c>
      <c r="E61" s="1" t="n">
        <v>2</v>
      </c>
      <c r="F61" s="9" t="n">
        <v>1</v>
      </c>
    </row>
    <row r="62" customFormat="false" ht="15.75" hidden="false" customHeight="true" outlineLevel="0" collapsed="false">
      <c r="A62" s="1" t="s">
        <v>74</v>
      </c>
      <c r="B62" s="1" t="s">
        <v>78</v>
      </c>
      <c r="C62" s="1" t="s">
        <v>12</v>
      </c>
      <c r="D62" s="1" t="s">
        <v>45</v>
      </c>
      <c r="E62" s="1" t="n">
        <v>1</v>
      </c>
      <c r="F62" s="9" t="n">
        <v>1</v>
      </c>
    </row>
    <row r="63" customFormat="false" ht="15.75" hidden="false" customHeight="true" outlineLevel="0" collapsed="false">
      <c r="A63" s="1" t="s">
        <v>74</v>
      </c>
      <c r="B63" s="1" t="s">
        <v>79</v>
      </c>
      <c r="C63" s="1" t="s">
        <v>12</v>
      </c>
      <c r="D63" s="1" t="s">
        <v>45</v>
      </c>
      <c r="E63" s="1" t="n">
        <v>20</v>
      </c>
      <c r="F63" s="9" t="n">
        <v>1</v>
      </c>
    </row>
    <row r="64" customFormat="false" ht="15.75" hidden="false" customHeight="true" outlineLevel="0" collapsed="false">
      <c r="A64" s="1" t="s">
        <v>74</v>
      </c>
      <c r="B64" s="1" t="s">
        <v>80</v>
      </c>
      <c r="C64" s="1" t="s">
        <v>12</v>
      </c>
      <c r="D64" s="1" t="s">
        <v>45</v>
      </c>
      <c r="E64" s="1" t="n">
        <v>20</v>
      </c>
      <c r="F64" s="9" t="n">
        <v>1</v>
      </c>
    </row>
    <row r="65" customFormat="false" ht="15.75" hidden="false" customHeight="true" outlineLevel="0" collapsed="false">
      <c r="A65" s="1" t="s">
        <v>74</v>
      </c>
      <c r="B65" s="1" t="s">
        <v>81</v>
      </c>
      <c r="C65" s="1" t="s">
        <v>12</v>
      </c>
      <c r="D65" s="1" t="s">
        <v>45</v>
      </c>
      <c r="E65" s="1" t="n">
        <v>30</v>
      </c>
      <c r="F65" s="9" t="n">
        <v>1</v>
      </c>
    </row>
    <row r="66" customFormat="false" ht="15.75" hidden="false" customHeight="true" outlineLevel="0" collapsed="false">
      <c r="A66" s="1" t="s">
        <v>74</v>
      </c>
      <c r="B66" s="1" t="s">
        <v>82</v>
      </c>
      <c r="C66" s="1" t="s">
        <v>12</v>
      </c>
      <c r="D66" s="1" t="s">
        <v>45</v>
      </c>
      <c r="E66" s="1" t="n">
        <v>40</v>
      </c>
      <c r="F66" s="9" t="n">
        <v>1</v>
      </c>
    </row>
    <row r="67" customFormat="false" ht="15.75" hidden="false" customHeight="true" outlineLevel="0" collapsed="false">
      <c r="A67" s="1" t="s">
        <v>74</v>
      </c>
      <c r="B67" s="1" t="s">
        <v>83</v>
      </c>
      <c r="C67" s="1" t="s">
        <v>12</v>
      </c>
      <c r="D67" s="1" t="s">
        <v>45</v>
      </c>
      <c r="E67" s="1" t="n">
        <v>20</v>
      </c>
      <c r="F67" s="9" t="n">
        <v>1</v>
      </c>
    </row>
    <row r="68" customFormat="false" ht="15.75" hidden="false" customHeight="true" outlineLevel="0" collapsed="false">
      <c r="A68" s="1" t="s">
        <v>74</v>
      </c>
      <c r="B68" s="1" t="s">
        <v>84</v>
      </c>
      <c r="C68" s="1" t="s">
        <v>12</v>
      </c>
      <c r="D68" s="1" t="s">
        <v>45</v>
      </c>
      <c r="E68" s="1" t="n">
        <v>30</v>
      </c>
      <c r="F68" s="9" t="n">
        <v>1</v>
      </c>
    </row>
    <row r="69" customFormat="false" ht="15.75" hidden="false" customHeight="true" outlineLevel="0" collapsed="false">
      <c r="A69" s="1" t="s">
        <v>74</v>
      </c>
      <c r="B69" s="1" t="s">
        <v>85</v>
      </c>
      <c r="C69" s="1" t="s">
        <v>12</v>
      </c>
      <c r="D69" s="1" t="s">
        <v>45</v>
      </c>
      <c r="E69" s="1" t="n">
        <v>10</v>
      </c>
      <c r="F69" s="9" t="n">
        <v>1</v>
      </c>
    </row>
    <row r="70" customFormat="false" ht="15.75" hidden="false" customHeight="true" outlineLevel="0" collapsed="false">
      <c r="A70" s="1" t="s">
        <v>74</v>
      </c>
      <c r="B70" s="1" t="s">
        <v>86</v>
      </c>
      <c r="C70" s="1" t="s">
        <v>12</v>
      </c>
      <c r="D70" s="1" t="s">
        <v>45</v>
      </c>
      <c r="E70" s="1" t="n">
        <v>40</v>
      </c>
      <c r="F70" s="9" t="n">
        <v>1</v>
      </c>
    </row>
    <row r="71" customFormat="false" ht="15.75" hidden="false" customHeight="true" outlineLevel="0" collapsed="false">
      <c r="A71" s="1" t="s">
        <v>74</v>
      </c>
      <c r="B71" s="1" t="s">
        <v>87</v>
      </c>
      <c r="C71" s="1" t="s">
        <v>12</v>
      </c>
      <c r="D71" s="1" t="s">
        <v>45</v>
      </c>
      <c r="E71" s="1" t="n">
        <v>10</v>
      </c>
      <c r="F71" s="9" t="n">
        <v>1</v>
      </c>
    </row>
    <row r="72" customFormat="false" ht="15.75" hidden="false" customHeight="true" outlineLevel="0" collapsed="false">
      <c r="A72" s="1" t="s">
        <v>74</v>
      </c>
      <c r="B72" s="1" t="s">
        <v>88</v>
      </c>
      <c r="C72" s="1" t="s">
        <v>12</v>
      </c>
      <c r="D72" s="1" t="s">
        <v>45</v>
      </c>
      <c r="E72" s="1" t="n">
        <v>30</v>
      </c>
      <c r="F72" s="9" t="n">
        <v>1</v>
      </c>
    </row>
    <row r="73" customFormat="false" ht="15.75" hidden="false" customHeight="true" outlineLevel="0" collapsed="false">
      <c r="A73" s="1" t="s">
        <v>74</v>
      </c>
      <c r="B73" s="1" t="s">
        <v>89</v>
      </c>
      <c r="C73" s="1" t="s">
        <v>12</v>
      </c>
      <c r="D73" s="1" t="s">
        <v>45</v>
      </c>
      <c r="E73" s="1" t="n">
        <v>4</v>
      </c>
      <c r="F73" s="9" t="n">
        <v>1</v>
      </c>
    </row>
    <row r="74" customFormat="false" ht="15.75" hidden="false" customHeight="true" outlineLevel="0" collapsed="false">
      <c r="A74" s="1" t="s">
        <v>90</v>
      </c>
      <c r="B74" s="1" t="s">
        <v>91</v>
      </c>
      <c r="C74" s="1" t="s">
        <v>12</v>
      </c>
      <c r="D74" s="1" t="s">
        <v>18</v>
      </c>
      <c r="E74" s="1" t="n">
        <v>10</v>
      </c>
      <c r="F74" s="9" t="n">
        <v>0.5</v>
      </c>
    </row>
    <row r="75" customFormat="false" ht="15.75" hidden="false" customHeight="true" outlineLevel="0" collapsed="false">
      <c r="A75" s="1" t="s">
        <v>90</v>
      </c>
      <c r="B75" s="1" t="s">
        <v>92</v>
      </c>
      <c r="C75" s="1" t="s">
        <v>12</v>
      </c>
      <c r="D75" s="1" t="s">
        <v>18</v>
      </c>
      <c r="E75" s="1" t="n">
        <v>20</v>
      </c>
      <c r="F75" s="9" t="n">
        <v>0.6</v>
      </c>
    </row>
    <row r="76" customFormat="false" ht="15.75" hidden="false" customHeight="true" outlineLevel="0" collapsed="false">
      <c r="A76" s="1" t="s">
        <v>90</v>
      </c>
      <c r="B76" s="1" t="s">
        <v>93</v>
      </c>
      <c r="C76" s="1" t="s">
        <v>12</v>
      </c>
      <c r="D76" s="1" t="s">
        <v>18</v>
      </c>
      <c r="E76" s="1" t="n">
        <v>20</v>
      </c>
      <c r="F76" s="9" t="n">
        <v>1</v>
      </c>
    </row>
    <row r="77" customFormat="false" ht="15.75" hidden="false" customHeight="true" outlineLevel="0" collapsed="false">
      <c r="A77" s="1" t="s">
        <v>90</v>
      </c>
      <c r="B77" s="1" t="s">
        <v>94</v>
      </c>
      <c r="C77" s="1" t="s">
        <v>12</v>
      </c>
      <c r="D77" s="1" t="s">
        <v>18</v>
      </c>
      <c r="E77" s="1" t="n">
        <v>20</v>
      </c>
      <c r="F77" s="9" t="n">
        <v>0.4</v>
      </c>
    </row>
    <row r="78" customFormat="false" ht="15.75" hidden="false" customHeight="true" outlineLevel="0" collapsed="false"/>
    <row r="79" customFormat="false" ht="15.75" hidden="false" customHeight="true" outlineLevel="0" collapsed="false">
      <c r="A79" s="7" t="s">
        <v>95</v>
      </c>
      <c r="B79" s="7"/>
      <c r="C79" s="7"/>
      <c r="D79" s="7"/>
      <c r="E79" s="7"/>
      <c r="F79" s="7"/>
    </row>
    <row r="80" customFormat="false" ht="15.75" hidden="false" customHeight="true" outlineLevel="0" collapsed="false">
      <c r="A80" s="7"/>
      <c r="B80" s="7"/>
      <c r="C80" s="7"/>
      <c r="D80" s="7"/>
      <c r="E80" s="7"/>
      <c r="F80" s="7"/>
    </row>
    <row r="81" customFormat="false" ht="15.75" hidden="false" customHeight="true" outlineLevel="0" collapsed="false"/>
    <row r="82" customFormat="false" ht="15.75" hidden="false" customHeight="true" outlineLevel="0" collapsed="false">
      <c r="A82" s="10" t="s">
        <v>96</v>
      </c>
      <c r="B82" s="10" t="s">
        <v>97</v>
      </c>
      <c r="C82" s="10" t="s">
        <v>12</v>
      </c>
      <c r="D82" s="10" t="n">
        <v>4090</v>
      </c>
      <c r="E82" s="10" t="n">
        <v>15</v>
      </c>
      <c r="F82" s="9" t="n">
        <v>1</v>
      </c>
    </row>
    <row r="83" customFormat="false" ht="15.75" hidden="false" customHeight="true" outlineLevel="0" collapsed="false">
      <c r="A83" s="10" t="s">
        <v>96</v>
      </c>
      <c r="B83" s="10" t="s">
        <v>98</v>
      </c>
      <c r="C83" s="10" t="s">
        <v>12</v>
      </c>
      <c r="D83" s="10" t="n">
        <v>4395</v>
      </c>
      <c r="E83" s="10" t="n">
        <v>20</v>
      </c>
      <c r="F83" s="9" t="n">
        <v>1</v>
      </c>
    </row>
    <row r="84" customFormat="false" ht="15.75" hidden="false" customHeight="true" outlineLevel="0" collapsed="false">
      <c r="A84" s="10" t="s">
        <v>96</v>
      </c>
      <c r="B84" s="10" t="s">
        <v>99</v>
      </c>
      <c r="C84" s="10" t="s">
        <v>12</v>
      </c>
      <c r="D84" s="10" t="n">
        <v>4090</v>
      </c>
      <c r="E84" s="10" t="n">
        <v>15</v>
      </c>
      <c r="F84" s="9" t="n">
        <v>1</v>
      </c>
    </row>
    <row r="85" customFormat="false" ht="15.75" hidden="false" customHeight="true" outlineLevel="0" collapsed="false">
      <c r="A85" s="10" t="s">
        <v>96</v>
      </c>
      <c r="B85" s="10" t="s">
        <v>100</v>
      </c>
      <c r="C85" s="10" t="s">
        <v>12</v>
      </c>
      <c r="D85" s="10" t="n">
        <v>4395</v>
      </c>
      <c r="E85" s="10" t="n">
        <v>10</v>
      </c>
      <c r="F85" s="9" t="n">
        <v>1</v>
      </c>
    </row>
    <row r="86" customFormat="false" ht="15.75" hidden="false" customHeight="true" outlineLevel="0" collapsed="false">
      <c r="A86" s="10" t="s">
        <v>96</v>
      </c>
      <c r="B86" s="10" t="s">
        <v>101</v>
      </c>
      <c r="C86" s="10" t="s">
        <v>12</v>
      </c>
      <c r="D86" s="10" t="n">
        <v>4395</v>
      </c>
      <c r="E86" s="10" t="n">
        <v>25</v>
      </c>
      <c r="F86" s="9" t="n">
        <v>1</v>
      </c>
    </row>
    <row r="87" customFormat="false" ht="15.75" hidden="false" customHeight="true" outlineLevel="0" collapsed="false">
      <c r="A87" s="10" t="s">
        <v>96</v>
      </c>
      <c r="B87" s="10" t="s">
        <v>102</v>
      </c>
      <c r="C87" s="10" t="s">
        <v>12</v>
      </c>
      <c r="D87" s="10" t="n">
        <v>4019</v>
      </c>
      <c r="E87" s="10" t="n">
        <v>30</v>
      </c>
      <c r="F87" s="9" t="n">
        <v>1</v>
      </c>
    </row>
    <row r="88" customFormat="false" ht="15.75" hidden="false" customHeight="true" outlineLevel="0" collapsed="false">
      <c r="A88" s="10" t="s">
        <v>96</v>
      </c>
      <c r="B88" s="10" t="s">
        <v>103</v>
      </c>
      <c r="C88" s="10" t="s">
        <v>12</v>
      </c>
      <c r="D88" s="10" t="n">
        <v>4019</v>
      </c>
      <c r="E88" s="10" t="n">
        <v>15</v>
      </c>
      <c r="F88" s="9" t="n">
        <v>1</v>
      </c>
    </row>
    <row r="89" customFormat="false" ht="15.75" hidden="false" customHeight="true" outlineLevel="0" collapsed="false">
      <c r="A89" s="10" t="s">
        <v>96</v>
      </c>
      <c r="B89" s="10" t="s">
        <v>104</v>
      </c>
      <c r="C89" s="10" t="s">
        <v>12</v>
      </c>
      <c r="D89" s="10" t="n">
        <v>4019</v>
      </c>
      <c r="E89" s="10" t="n">
        <v>20</v>
      </c>
      <c r="F89" s="9" t="n">
        <v>1</v>
      </c>
    </row>
    <row r="90" customFormat="false" ht="15.75" hidden="false" customHeight="true" outlineLevel="0" collapsed="false">
      <c r="A90" s="10" t="s">
        <v>96</v>
      </c>
      <c r="B90" s="10" t="s">
        <v>105</v>
      </c>
      <c r="C90" s="10" t="s">
        <v>12</v>
      </c>
      <c r="D90" s="10" t="n">
        <v>4395</v>
      </c>
      <c r="E90" s="10" t="n">
        <v>25</v>
      </c>
      <c r="F90" s="9" t="n">
        <v>1</v>
      </c>
    </row>
    <row r="91" customFormat="false" ht="15.75" hidden="false" customHeight="true" outlineLevel="0" collapsed="false">
      <c r="A91" s="10" t="s">
        <v>96</v>
      </c>
      <c r="B91" s="10" t="s">
        <v>106</v>
      </c>
      <c r="C91" s="10" t="s">
        <v>12</v>
      </c>
      <c r="D91" s="10" t="n">
        <v>4019</v>
      </c>
      <c r="E91" s="10" t="n">
        <v>15</v>
      </c>
      <c r="F91" s="9" t="n">
        <v>1</v>
      </c>
    </row>
    <row r="92" customFormat="false" ht="15.75" hidden="false" customHeight="true" outlineLevel="0" collapsed="false">
      <c r="A92" s="10" t="s">
        <v>96</v>
      </c>
      <c r="B92" s="10" t="s">
        <v>107</v>
      </c>
      <c r="C92" s="10" t="s">
        <v>12</v>
      </c>
      <c r="D92" s="10" t="n">
        <v>4019</v>
      </c>
      <c r="E92" s="10" t="n">
        <v>25</v>
      </c>
      <c r="F92" s="9" t="n">
        <v>1</v>
      </c>
    </row>
    <row r="93" customFormat="false" ht="15.75" hidden="false" customHeight="true" outlineLevel="0" collapsed="false">
      <c r="A93" s="10" t="s">
        <v>96</v>
      </c>
      <c r="B93" s="10" t="s">
        <v>108</v>
      </c>
      <c r="C93" s="10" t="s">
        <v>12</v>
      </c>
      <c r="D93" s="10" t="n">
        <v>4395</v>
      </c>
      <c r="E93" s="10" t="n">
        <v>20</v>
      </c>
      <c r="F93" s="9" t="n">
        <v>1</v>
      </c>
    </row>
    <row r="94" customFormat="false" ht="15.75" hidden="false" customHeight="true" outlineLevel="0" collapsed="false">
      <c r="A94" s="10" t="s">
        <v>96</v>
      </c>
      <c r="B94" s="10" t="s">
        <v>109</v>
      </c>
      <c r="C94" s="10" t="s">
        <v>12</v>
      </c>
      <c r="D94" s="10" t="n">
        <v>4395</v>
      </c>
      <c r="E94" s="10" t="n">
        <v>15</v>
      </c>
      <c r="F94" s="9" t="n">
        <v>1</v>
      </c>
    </row>
    <row r="95" customFormat="false" ht="15.75" hidden="false" customHeight="true" outlineLevel="0" collapsed="false">
      <c r="A95" s="10" t="s">
        <v>96</v>
      </c>
      <c r="B95" s="10" t="s">
        <v>110</v>
      </c>
      <c r="C95" s="10" t="s">
        <v>12</v>
      </c>
      <c r="D95" s="10" t="n">
        <v>4019</v>
      </c>
      <c r="E95" s="10" t="n">
        <v>30</v>
      </c>
      <c r="F95" s="9" t="n">
        <v>1</v>
      </c>
    </row>
    <row r="96" customFormat="false" ht="15.75" hidden="false" customHeight="true" outlineLevel="0" collapsed="false">
      <c r="A96" s="10" t="s">
        <v>111</v>
      </c>
      <c r="B96" s="10" t="s">
        <v>112</v>
      </c>
      <c r="C96" s="10" t="s">
        <v>12</v>
      </c>
      <c r="D96" s="10" t="n">
        <v>4090</v>
      </c>
      <c r="E96" s="10" t="n">
        <v>20</v>
      </c>
      <c r="F96" s="9" t="n">
        <v>1</v>
      </c>
    </row>
    <row r="97" customFormat="false" ht="15.75" hidden="false" customHeight="true" outlineLevel="0" collapsed="false">
      <c r="A97" s="10" t="s">
        <v>111</v>
      </c>
      <c r="B97" s="10" t="s">
        <v>113</v>
      </c>
      <c r="C97" s="10" t="s">
        <v>12</v>
      </c>
      <c r="D97" s="10" t="n">
        <v>4090</v>
      </c>
      <c r="E97" s="10" t="n">
        <v>25</v>
      </c>
      <c r="F97" s="9" t="n">
        <v>1</v>
      </c>
    </row>
    <row r="98" customFormat="false" ht="15.75" hidden="false" customHeight="true" outlineLevel="0" collapsed="false">
      <c r="A98" s="10" t="s">
        <v>111</v>
      </c>
      <c r="B98" s="10" t="s">
        <v>114</v>
      </c>
      <c r="C98" s="10" t="s">
        <v>12</v>
      </c>
      <c r="D98" s="10" t="n">
        <v>4090</v>
      </c>
      <c r="E98" s="10" t="n">
        <v>10</v>
      </c>
      <c r="F98" s="9" t="n">
        <v>1</v>
      </c>
    </row>
    <row r="99" customFormat="false" ht="15.75" hidden="false" customHeight="true" outlineLevel="0" collapsed="false">
      <c r="A99" s="10" t="s">
        <v>111</v>
      </c>
      <c r="B99" s="10" t="s">
        <v>115</v>
      </c>
      <c r="C99" s="10" t="s">
        <v>12</v>
      </c>
      <c r="D99" s="10" t="n">
        <v>4090</v>
      </c>
      <c r="E99" s="10" t="n">
        <v>5</v>
      </c>
      <c r="F99" s="9" t="n">
        <v>1</v>
      </c>
    </row>
    <row r="100" customFormat="false" ht="15.75" hidden="false" customHeight="true" outlineLevel="0" collapsed="false">
      <c r="A100" s="10" t="s">
        <v>111</v>
      </c>
      <c r="B100" s="10" t="s">
        <v>116</v>
      </c>
      <c r="C100" s="10" t="s">
        <v>12</v>
      </c>
      <c r="D100" s="10" t="n">
        <v>4090</v>
      </c>
      <c r="E100" s="10" t="n">
        <v>8</v>
      </c>
      <c r="F100" s="9" t="n">
        <v>1</v>
      </c>
    </row>
    <row r="101" customFormat="false" ht="15.75" hidden="false" customHeight="true" outlineLevel="0" collapsed="false">
      <c r="A101" s="10" t="s">
        <v>111</v>
      </c>
      <c r="B101" s="10" t="s">
        <v>117</v>
      </c>
      <c r="C101" s="10" t="s">
        <v>12</v>
      </c>
      <c r="D101" s="10" t="n">
        <v>4090</v>
      </c>
      <c r="E101" s="10" t="n">
        <v>8</v>
      </c>
      <c r="F101" s="9" t="n">
        <v>1</v>
      </c>
    </row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</sheetData>
  <mergeCells count="4">
    <mergeCell ref="A1:F1"/>
    <mergeCell ref="A2:F2"/>
    <mergeCell ref="A41:F42"/>
    <mergeCell ref="A79:F8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C3" activeCellId="0" sqref="C3"/>
    </sheetView>
  </sheetViews>
  <sheetFormatPr defaultColWidth="9.671875" defaultRowHeight="15" customHeight="false" zeroHeight="false" outlineLevelRow="0" outlineLevelCol="0"/>
  <cols>
    <col collapsed="false" customWidth="true" hidden="false" outlineLevel="0" max="1" min="1" style="1" width="21.94"/>
    <col collapsed="false" customWidth="true" hidden="false" outlineLevel="0" max="2" min="2" style="1" width="22.23"/>
    <col collapsed="false" customWidth="true" hidden="false" outlineLevel="0" max="3" min="3" style="1" width="26.55"/>
    <col collapsed="false" customWidth="true" hidden="false" outlineLevel="0" max="4" min="4" style="1" width="10.74"/>
    <col collapsed="false" customWidth="true" hidden="false" outlineLevel="0" max="5" min="5" style="1" width="19.35"/>
    <col collapsed="false" customWidth="true" hidden="false" outlineLevel="0" max="26" min="6" style="1" width="9.11"/>
  </cols>
  <sheetData>
    <row r="1" customFormat="false" ht="15.75" hidden="false" customHeight="true" outlineLevel="0" collapsed="false">
      <c r="A1" s="11" t="s">
        <v>118</v>
      </c>
      <c r="B1" s="11" t="s">
        <v>119</v>
      </c>
      <c r="C1" s="11" t="s">
        <v>120</v>
      </c>
      <c r="D1" s="11" t="s">
        <v>121</v>
      </c>
      <c r="E1" s="11" t="s">
        <v>122</v>
      </c>
    </row>
    <row r="2" customFormat="false" ht="15.75" hidden="false" customHeight="true" outlineLevel="0" collapsed="false">
      <c r="A2" s="12" t="n">
        <f aca="false">SUM('liste des taches'!H4:H331)</f>
        <v>0</v>
      </c>
      <c r="B2" s="12" t="n">
        <f aca="false">SUM('liste des taches'!I4:I331)</f>
        <v>0</v>
      </c>
      <c r="C2" s="12" t="n">
        <f aca="false">SUM('liste des taches'!J4:J331)</f>
        <v>0</v>
      </c>
      <c r="D2" s="9" t="e">
        <f aca="false">(B2/(B2+C2))</f>
        <v>#DIV/0!</v>
      </c>
      <c r="E2" s="13" t="e">
        <f aca="false">((B2+C2)-A2)/A2</f>
        <v>#DIV/0!</v>
      </c>
    </row>
    <row r="3" customFormat="false" ht="15.75" hidden="false" customHeight="true" outlineLevel="0" collapsed="false">
      <c r="C3" s="12" t="n">
        <f aca="false">C2/60</f>
        <v>0</v>
      </c>
      <c r="D3" s="12" t="s">
        <v>123</v>
      </c>
    </row>
    <row r="4" customFormat="false" ht="15.75" hidden="false" customHeight="true" outlineLevel="0" collapsed="false"/>
    <row r="5" customFormat="false" ht="15.75" hidden="false" customHeight="true" outlineLevel="0" collapsed="false"/>
    <row r="6" customFormat="false" ht="15.75" hidden="false" customHeight="true" outlineLevel="0" collapsed="false"/>
    <row r="7" customFormat="false" ht="15.75" hidden="false" customHeight="true" outlineLevel="0" collapsed="false"/>
    <row r="8" customFormat="false" ht="15.75" hidden="false" customHeight="true" outlineLevel="0" collapsed="false"/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9.671875" defaultRowHeight="15" customHeight="false" zeroHeight="false" outlineLevelRow="0" outlineLevelCol="0"/>
  <cols>
    <col collapsed="false" customWidth="true" hidden="false" outlineLevel="0" max="28" min="1" style="1" width="9.11"/>
  </cols>
  <sheetData>
    <row r="1" customFormat="false" ht="15.75" hidden="false" customHeight="true" outlineLevel="0" collapsed="false">
      <c r="A1" s="14" t="s">
        <v>124</v>
      </c>
      <c r="B1" s="2" t="s">
        <v>125</v>
      </c>
      <c r="C1" s="15" t="n">
        <v>46048</v>
      </c>
      <c r="D1" s="15" t="n">
        <v>46049</v>
      </c>
      <c r="E1" s="15" t="n">
        <v>46050</v>
      </c>
    </row>
    <row r="2" customFormat="false" ht="15.75" hidden="false" customHeight="true" outlineLevel="0" collapsed="false">
      <c r="A2" s="16" t="n">
        <v>1</v>
      </c>
      <c r="B2" s="12" t="n">
        <f aca="false">SUM(D2:P2)</f>
        <v>20</v>
      </c>
      <c r="C2" s="16"/>
      <c r="D2" s="16" t="n">
        <v>20</v>
      </c>
    </row>
    <row r="3" customFormat="false" ht="15.75" hidden="false" customHeight="true" outlineLevel="0" collapsed="false">
      <c r="A3" s="16" t="n">
        <v>2</v>
      </c>
      <c r="B3" s="12" t="n">
        <f aca="false">SUM(D3:P3)</f>
        <v>0</v>
      </c>
    </row>
    <row r="4" customFormat="false" ht="15.75" hidden="false" customHeight="true" outlineLevel="0" collapsed="false">
      <c r="A4" s="16" t="n">
        <v>3</v>
      </c>
      <c r="B4" s="12" t="n">
        <f aca="false">SUM(D4:P4)</f>
        <v>10</v>
      </c>
      <c r="C4" s="16" t="n">
        <v>20</v>
      </c>
      <c r="D4" s="16" t="n">
        <v>10</v>
      </c>
    </row>
    <row r="5" customFormat="false" ht="15.75" hidden="false" customHeight="true" outlineLevel="0" collapsed="false">
      <c r="A5" s="16" t="n">
        <v>4</v>
      </c>
      <c r="B5" s="12" t="n">
        <f aca="false">SUM(D5:P5)</f>
        <v>0</v>
      </c>
    </row>
    <row r="6" customFormat="false" ht="15.75" hidden="false" customHeight="true" outlineLevel="0" collapsed="false">
      <c r="A6" s="16" t="n">
        <v>5</v>
      </c>
      <c r="B6" s="12" t="n">
        <f aca="false">SUM(D6:P6)</f>
        <v>0</v>
      </c>
    </row>
    <row r="7" customFormat="false" ht="15.75" hidden="false" customHeight="true" outlineLevel="0" collapsed="false">
      <c r="A7" s="16" t="n">
        <v>6</v>
      </c>
      <c r="B7" s="12" t="n">
        <f aca="false">SUM(D7:P7)</f>
        <v>0</v>
      </c>
    </row>
    <row r="8" customFormat="false" ht="15.75" hidden="false" customHeight="true" outlineLevel="0" collapsed="false">
      <c r="A8" s="16" t="n">
        <v>7</v>
      </c>
      <c r="B8" s="12" t="n">
        <f aca="false">SUM(D8:P8)</f>
        <v>0</v>
      </c>
    </row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2026-01-08T08:10:07Z</dcterms:created>
  <dc:creator>Rojo Raben</dc:creator>
  <dc:description/>
  <dc:language>fr-FR</dc:language>
  <cp:lastModifiedBy/>
  <dcterms:modified xsi:type="dcterms:W3CDTF">2026-02-17T15:58:33Z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